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Types>
</file>

<file path=_rels/.rels>&#65279;<?xml version="1.0" encoding="utf-8"?><Relationships xmlns="http://schemas.openxmlformats.org/package/2006/relationships"><Relationship Type="http://schemas.openxmlformats.org/officeDocument/2006/relationships/officeDocument" Target="/xl/workbook.xml" Id="Ra0cd0740439c415d" /></Relationships>
</file>

<file path=xl/workbook.xml><?xml version="1.0" encoding="utf-8"?>
<x:workbook xmlns:x="http://schemas.openxmlformats.org/spreadsheetml/2006/main">
  <x:sheets>
    <x:sheet xmlns:r="http://schemas.openxmlformats.org/officeDocument/2006/relationships" name="Power Budget" sheetId="1" r:id="R8a7f13a608294ecf"/>
  </x:sheets>
</x:workbook>
</file>

<file path=xl/comments1.xml><?xml version="1.0" encoding="utf-8"?>
<x:comments xmlns:x="http://schemas.openxmlformats.org/spreadsheetml/2006/main">
  <x:authors>
    <x:author/>
  </x:authors>
  <x:commentList>
    <x:comment ref="F8" authorId="0">
      <x:text>
        <x:r>
          <x:t>For inductive loads (e.g., motors, solenoids) this is often called "stall current" on the data sheet</x:t>
        </x:r>
      </x:text>
    </x:comment>
  </x:commentList>
</x:comments>
</file>

<file path=xl/sharedStrings.xml><?xml version="1.0" encoding="utf-8"?>
<x:sst xmlns:x="http://schemas.openxmlformats.org/spreadsheetml/2006/main">
  <x:si>
    <x:t xml:space="preserve">Team Number:</x:t>
  </x:si>
  <x:si>
    <x:t xml:space="preserve">Project Name:</x:t>
  </x:si>
  <x:si>
    <x:t xml:space="preserve">Team Member Names:</x:t>
  </x:si>
  <x:si>
    <x:t xml:space="preserve">Version:</x:t>
  </x:si>
  <x:si>
    <x:t xml:space="preserve">A. List ALL major components (active devices, integrated circuits, etc.) except for power sources, voltage regulators, resistors, capacitors, or passive elements</x:t>
  </x:si>
  <x:si>
    <x:t xml:space="preserve">All Major Components</x:t>
  </x:si>
  <x:si>
    <x:t xml:space="preserve">Component Name</x:t>
  </x:si>
  <x:si>
    <x:t xml:space="preserve">Part Number</x:t>
  </x:si>
  <x:si>
    <x:t xml:space="preserve">Supply
Voltage
Range</x:t>
  </x:si>
  <x:si>
    <x:t xml:space="preserve">#</x:t>
  </x:si>
  <x:si>
    <x:t xml:space="preserve">Absolute
Maximum
Current (mA)</x:t>
  </x:si>
  <x:si>
    <x:t xml:space="preserve">Total
Current
(mA)</x:t>
  </x:si>
  <x:si>
    <x:t xml:space="preserve">Unit</x:t>
  </x:si>
  <x:si>
    <x:t xml:space="preserve">B. Assign each major component above to ONE power rail below. Try to minimize the number of different power rails in the design. 
Add additional power rails or change the power rail voltages if needed.</x:t>
  </x:si>
  <x:si>
    <x:t xml:space="preserve">Subtotal </x:t>
  </x:si>
  <x:si>
    <x:t xml:space="preserve">mA</x:t>
  </x:si>
  <x:si>
    <x:t xml:space="preserve">Safety Margin</x:t>
  </x:si>
  <x:si>
    <x:t xml:space="preserve">Total Current Required on +12V Rail</x:t>
  </x:si>
  <x:si>
    <x:t xml:space="preserve">c1. Regulator or Source Choice</x:t>
  </x:si>
  <x:si>
    <x:t xml:space="preserve">Total Remaining Current Available on +12V Rail</x:t>
  </x:si>
  <x:si>
    <x:t xml:space="preserve">Total Current Required on +5V Rail</x:t>
  </x:si>
  <x:si>
    <x:t xml:space="preserve">c2. Regulator or Source Choice</x:t>
  </x:si>
  <x:si>
    <x:t xml:space="preserve">Total Remaining Current Available on +5V Rail</x:t>
  </x:si>
  <x:si>
    <x:t xml:space="preserve">Total Current Required on -5V Rail</x:t>
  </x:si>
  <x:si>
    <x:t xml:space="preserve">c3. Regulator or Source Choice</x:t>
  </x:si>
  <x:si>
    <x:t xml:space="preserve">Total Remaining Current Available on -5V Rail</x:t>
  </x:si>
  <x:si>
    <x:t xml:space="preserve">Total Current Required on +3.3V Rail</x:t>
  </x:si>
  <x:si>
    <x:t xml:space="preserve">c4. Regulator or Source Choice</x:t>
  </x:si>
  <x:si>
    <x:t xml:space="preserve">Total Remaining Current Available on 3.3V Rail</x:t>
  </x:si>
  <x:si>
    <x:t xml:space="preserve">C. For each power rail above, select a specific voltage regulator using the same process as for major component selection. Confirm that the Total Remaining Current Available on each rail above is not negative.</x:t>
  </x:si>
  <x:si>
    <x:t xml:space="preserve">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x:t>
  </x:si>
  <x:si>
    <x:t xml:space="preserve">External Power Source 1</x:t>
  </x:si>
  <x:si>
    <x:t xml:space="preserve">Output Voltage</x:t>
  </x:si>
  <x:si>
    <x:t xml:space="preserve">Power Source 1 Selection</x:t>
  </x:si>
  <x:si>
    <x:t xml:space="preserve">Power Rails Connected to External Power Source 1</x:t>
  </x:si>
  <x:si>
    <x:t xml:space="preserve">Total Remaining Current Available on External Power Source 1</x:t>
  </x:si>
  <x:si>
    <x:t xml:space="preserve">External Power Source 2</x:t>
  </x:si>
  <x:si>
    <x:t xml:space="preserve">Power Source 2 Selection</x:t>
  </x:si>
  <x:si>
    <x:t xml:space="preserve">Power Rails Connected to External Power Source 2</x:t>
  </x:si>
  <x:si>
    <x:t xml:space="preserve">Total Remaining Current Available on External Power Source 2</x:t>
  </x:si>
  <x:si>
    <x:t xml:space="preserve">E. Calculate Battery Life (if applicable).  For each battery, also check the worst-case lifetime of the battery by indicating the capacity in mAh.</x:t>
  </x:si>
  <x:si>
    <x:t xml:space="preserve">Capacity
(mAh)</x:t>
  </x:si>
  <x:si>
    <x:t xml:space="preserve">Required
By
Regulators</x:t>
  </x:si>
  <x:si>
    <x:t xml:space="preserve">Battery Life</x:t>
  </x:si>
  <x:si>
    <x:t xml:space="preserve">hours</x:t>
  </x:si>
  <x:si>
    <x:t xml:space="preserve">Notes</x:t>
  </x:si>
</x:sst>
</file>

<file path=xl/styles.xml><?xml version="1.0" encoding="utf-8"?>
<x:styleSheet xmlns:x="http://schemas.openxmlformats.org/spreadsheetml/2006/main">
  <x:fonts count="10">
    <x:font>
      <x:sz val="12"/>
      <x:color rgb="FF000000"/>
      <x:name val="Calibri"/>
    </x:font>
    <x:font>
      <x:b/>
      <x:sz val="24"/>
      <x:color rgb="FF000000"/>
      <x:name val="Calibri"/>
    </x:font>
    <x:font>
      <x:b/>
      <x:sz val="12"/>
      <x:color rgb="FF000000"/>
      <x:name val="Calibri"/>
    </x:font>
    <x:font/>
    <x:font>
      <x:b/>
      <x:sz val="12"/>
      <x:color rgb="FF000000"/>
      <x:name val="Arial"/>
    </x:font>
    <x:font>
      <x:b/>
      <x:i/>
      <x:sz val="12"/>
      <x:color rgb="FF000000"/>
      <x:name val="Arial"/>
    </x:font>
    <x:font>
      <x:sz val="12"/>
      <x:color rgb="FF000000"/>
      <x:name val="Arial"/>
    </x:font>
    <x:font>
      <x:b/>
      <x:i/>
      <x:sz val="12"/>
      <x:color rgb="FF000000"/>
      <x:name val="Calibri"/>
    </x:font>
    <x:font>
      <x:name val="Arial"/>
    </x:font>
    <x:font>
      <x:color rgb="FF000000"/>
      <x:name val="Arial"/>
    </x:font>
  </x:fonts>
  <x:fills count="5">
    <x:fill>
      <x:patternFill patternType="none"/>
    </x:fill>
    <x:fill>
      <x:patternFill patternType="lightGray"/>
    </x:fill>
    <x:fill>
      <x:patternFill patternType="solid">
        <x:fgColor rgb="FFFFFF00"/>
      </x:patternFill>
    </x:fill>
    <x:fill>
      <x:patternFill patternType="solid">
        <x:fgColor rgb="FFEEECE1"/>
      </x:patternFill>
    </x:fill>
    <x:fill>
      <x:patternFill patternType="solid">
        <x:fgColor rgb="FFFFFFFF"/>
      </x:patternFill>
    </x:fill>
  </x:fills>
  <x:borders count="19">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top style="thin">
        <x:color rgb="FF000000"/>
      </x:top>
      <x:bottom style="thin">
        <x:color rgb="FF000000"/>
      </x:bottom>
    </x:border>
    <x:border>
      <x:top style="thin">
        <x:color rgb="FF000000"/>
      </x:top>
      <x:bottom style="thin">
        <x:color rgb="FF000000"/>
      </x:bottom>
    </x:border>
    <x:border>
      <x:left style="thin">
        <x:color rgb="FF000000"/>
      </x:left>
      <x:right style="thin">
        <x:color rgb="FF000000"/>
      </x:right>
      <x:bottom style="thin">
        <x:color rgb="FF000000"/>
      </x:bottom>
    </x:border>
    <x:border>
      <x:left style="thin">
        <x:color rgb="FF000000"/>
      </x:left>
    </x:border>
    <x:border>
      <x:left style="thin">
        <x:color rgb="FF000000"/>
      </x:left>
      <x:right style="thin">
        <x:color rgb="FF000000"/>
      </x:right>
    </x:border>
    <x:border>
      <x:left style="thin">
        <x:color rgb="FF000000"/>
      </x:left>
      <x:top style="thin">
        <x:color rgb="FF000000"/>
      </x:top>
      <x:bottom style="thin">
        <x:color rgb="FF000000"/>
      </x:bottom>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right style="thin">
        <x:color rgb="FF000000"/>
      </x:right>
    </x:border>
    <x:border>
      <x:top style="thin">
        <x:color rgb="FF000000"/>
      </x:top>
      <x:bottom style="thin">
        <x:color rgb="FF000000"/>
      </x:bottom>
    </x:border>
    <x:border/>
    <x:border>
      <x:top style="thin">
        <x:color rgb="FF000000"/>
      </x:top>
    </x:border>
    <x:border>
      <x:top style="thin">
        <x:color rgb="FF000000"/>
      </x:top>
    </x:border>
  </x:borders>
  <x:cellStyleXfs count="1">
    <x:xf numFmtId="0" fontId="0" fillId="0" borderId="0" applyFont="1" applyAlignment="1"/>
  </x:cellStyleXfs>
  <x:cellXfs count="75">
    <x:xf numFmtId="0" fontId="0" fillId="0" borderId="0" xfId="0" applyFont="1" applyAlignment="1">
      <x:alignment vertical="bottom" wrapText="0"/>
    </x:xf>
    <x:xf numFmtId="0" fontId="1" fillId="0" borderId="0" xfId="0" applyFont="1" applyAlignment="1">
      <x:alignment horizontal="center" wrapText="0"/>
    </x:xf>
    <x:xf numFmtId="0" fontId="2" fillId="0" borderId="1" xfId="0" applyFont="1" applyBorder="1" applyAlignment="1">
      <x:alignment wrapText="0"/>
    </x:xf>
    <x:xf numFmtId="0" fontId="3" fillId="0" borderId="1" xfId="0" applyFont="1" applyBorder="1"/>
    <x:xf numFmtId="0" fontId="2" fillId="0" borderId="0" xfId="0" applyFont="1" applyAlignment="1">
      <x:alignment horizontal="center" wrapText="0"/>
    </x:xf>
    <x:xf numFmtId="0" fontId="4" fillId="0" borderId="1" xfId="0" applyFont="1" applyBorder="1" applyAlignment="1">
      <x:alignment wrapText="0"/>
    </x:xf>
    <x:xf numFmtId="0" fontId="2" fillId="0" borderId="0" xfId="0" applyFont="1" applyAlignment="1">
      <x:alignment wrapText="0"/>
    </x:xf>
    <x:xf numFmtId="0" fontId="4" fillId="0" borderId="0" xfId="0" applyFont="1" applyAlignment="1">
      <x:alignment wrapText="0"/>
    </x:xf>
    <x:xf numFmtId="0" fontId="5" fillId="2" borderId="2" xfId="0" applyFont="1" applyFill="1" applyBorder="1" applyAlignment="1">
      <x:alignment wrapText="1"/>
    </x:xf>
    <x:xf numFmtId="0" fontId="3" fillId="0" borderId="3" xfId="0" applyFont="1" applyBorder="1"/>
    <x:xf numFmtId="0" fontId="3" fillId="0" borderId="4" xfId="0" applyFont="1" applyBorder="1"/>
    <x:xf numFmtId="0" fontId="4" fillId="3" borderId="2" xfId="0" applyFont="1" applyFill="1" applyBorder="1" applyAlignment="1">
      <x:alignment horizontal="center" wrapText="0"/>
    </x:xf>
    <x:xf numFmtId="0" fontId="2" fillId="3" borderId="5" xfId="0" applyFont="1" applyBorder="1" applyAlignment="1">
      <x:alignment horizontal="center" wrapText="0"/>
    </x:xf>
    <x:xf numFmtId="0" fontId="4" fillId="3" borderId="5" xfId="0" applyFont="1" applyBorder="1" applyAlignment="1">
      <x:alignment horizontal="center" wrapText="0"/>
    </x:xf>
    <x:xf numFmtId="0" fontId="4" fillId="3" borderId="6" xfId="0" applyFont="1" applyBorder="1" applyAlignment="1">
      <x:alignment horizontal="center" wrapText="0"/>
    </x:xf>
    <x:xf numFmtId="0" fontId="4" fillId="3" borderId="7" xfId="0" applyFont="1" applyBorder="1" applyAlignment="1">
      <x:alignment horizontal="center" wrapText="0"/>
    </x:xf>
    <x:xf numFmtId="0" fontId="0" fillId="0" borderId="8" xfId="0" applyFont="1" applyBorder="1" applyAlignment="1">
      <x:alignment wrapText="0"/>
    </x:xf>
    <x:xf numFmtId="0" fontId="0" fillId="0" borderId="0" xfId="0" applyFont="1" applyAlignment="1">
      <x:alignment wrapText="0"/>
    </x:xf>
    <x:xf numFmtId="0" fontId="6" fillId="0" borderId="0" xfId="0" applyFont="1" applyAlignment="1">
      <x:alignment horizontal="center" wrapText="0"/>
    </x:xf>
    <x:xf numFmtId="0" fontId="0" fillId="0" borderId="0" xfId="0" applyFont="1" applyAlignment="1">
      <x:alignment horizontal="center" wrapText="0"/>
    </x:xf>
    <x:xf numFmtId="0" fontId="0" fillId="0" borderId="9" xfId="0" applyFont="1" applyBorder="1" applyAlignment="1">
      <x:alignment wrapText="0"/>
    </x:xf>
    <x:xf numFmtId="0" fontId="6" fillId="0" borderId="9" xfId="0" applyFont="1" applyBorder="1" applyAlignment="1">
      <x:alignment wrapText="0"/>
    </x:xf>
    <x:xf numFmtId="0" fontId="0" fillId="0" borderId="0" xfId="0" applyFont="1" applyAlignment="1">
      <x:alignment wrapText="0"/>
    </x:xf>
    <x:xf numFmtId="0" fontId="6" fillId="0" borderId="0" xfId="0" applyFont="1" applyAlignment="1">
      <x:alignment wrapText="0"/>
    </x:xf>
    <x:xf numFmtId="49" fontId="6" fillId="0" borderId="0" xfId="0" applyNumberFormat="1" applyFont="1" applyAlignment="1">
      <x:alignment horizontal="center" wrapText="0"/>
    </x:xf>
    <x:xf numFmtId="0" fontId="2" fillId="0" borderId="8" xfId="0" applyFont="1" applyBorder="1" applyAlignment="1">
      <x:alignment wrapText="0"/>
    </x:xf>
    <x:xf numFmtId="0" fontId="2" fillId="0" borderId="0" xfId="0" applyFont="1" applyAlignment="1">
      <x:alignment wrapText="0"/>
    </x:xf>
    <x:xf numFmtId="0" fontId="4" fillId="0" borderId="0" xfId="0" applyFont="1" applyAlignment="1">
      <x:alignment horizontal="center" wrapText="0"/>
    </x:xf>
    <x:xf numFmtId="0" fontId="2" fillId="0" borderId="9" xfId="0" applyFont="1" applyBorder="1" applyAlignment="1">
      <x:alignment wrapText="0"/>
    </x:xf>
    <x:xf numFmtId="0" fontId="5" fillId="3" borderId="10" xfId="0" applyFont="1" applyBorder="1" applyAlignment="1">
      <x:alignment wrapText="0"/>
    </x:xf>
    <x:xf numFmtId="0" fontId="7" fillId="0" borderId="0" xfId="0" applyFont="1" applyAlignment="1">
      <x:alignment horizontal="right" wrapText="0"/>
    </x:xf>
    <x:xf numFmtId="9" fontId="0" fillId="0" borderId="9" xfId="0" applyNumberFormat="1" applyFont="1" applyBorder="1" applyAlignment="1">
      <x:alignment wrapText="0"/>
    </x:xf>
    <x:xf numFmtId="0" fontId="7" fillId="0" borderId="8" xfId="0" applyFont="1" applyBorder="1" applyAlignment="1">
      <x:alignment wrapText="0"/>
    </x:xf>
    <x:xf numFmtId="0" fontId="5" fillId="0" borderId="0" xfId="0" applyFont="1" applyAlignment="1">
      <x:alignment horizontal="right" wrapText="0"/>
    </x:xf>
    <x:xf numFmtId="0" fontId="5" fillId="0" borderId="8" xfId="0" applyFont="1" applyBorder="1" applyAlignment="1">
      <x:alignment horizontal="left" wrapText="0"/>
    </x:xf>
    <x:xf numFmtId="0" fontId="6" fillId="0" borderId="0" xfId="0" applyFont="1" applyAlignment="1">
      <x:alignment horizontal="left" wrapText="0"/>
    </x:xf>
    <x:xf numFmtId="0" fontId="6" fillId="0" borderId="0" xfId="0" applyFont="1" applyAlignment="1">
      <x:alignment horizontal="right" wrapText="0"/>
    </x:xf>
    <x:xf numFmtId="0" fontId="0" fillId="0" borderId="9" xfId="0" applyFont="1" applyBorder="1" applyAlignment="1">
      <x:alignment horizontal="right" wrapText="0"/>
    </x:xf>
    <x:xf numFmtId="0" fontId="5" fillId="0" borderId="11" xfId="0" applyFont="1" applyBorder="1" applyAlignment="1">
      <x:alignment horizontal="left" wrapText="0"/>
    </x:xf>
    <x:xf numFmtId="49" fontId="5" fillId="0" borderId="12" xfId="0" applyNumberFormat="1" applyFont="1" applyBorder="1" applyAlignment="1">
      <x:alignment horizontal="right" wrapText="0"/>
    </x:xf>
    <x:xf numFmtId="0" fontId="3" fillId="0" borderId="12" xfId="0" applyFont="1" applyBorder="1"/>
    <x:xf numFmtId="0" fontId="4" fillId="3" borderId="1" xfId="0" applyFont="1" applyBorder="1" applyAlignment="1">
      <x:alignment horizontal="center" wrapText="0"/>
    </x:xf>
    <x:xf numFmtId="0" fontId="0" fillId="0" borderId="8" xfId="0" applyFont="1" applyBorder="1" applyAlignment="1">
      <x:alignment wrapText="0"/>
    </x:xf>
    <x:xf numFmtId="49" fontId="5" fillId="0" borderId="0" xfId="0" applyNumberFormat="1" applyFont="1" applyAlignment="1">
      <x:alignment horizontal="right" wrapText="0"/>
    </x:xf>
    <x:xf numFmtId="0" fontId="5" fillId="0" borderId="8" xfId="0" applyFont="1" applyBorder="1" applyAlignment="1">
      <x:alignment wrapText="1"/>
    </x:xf>
    <x:xf numFmtId="0" fontId="5" fillId="0" borderId="0" xfId="0" applyFont="1" applyAlignment="1">
      <x:alignment wrapText="1"/>
    </x:xf>
    <x:xf numFmtId="0" fontId="5" fillId="0" borderId="8" xfId="0" applyFont="1" applyBorder="1" applyAlignment="1">
      <x:alignment wrapText="0"/>
    </x:xf>
    <x:xf numFmtId="0" fontId="5" fillId="0" borderId="9" xfId="0" applyFont="1" applyBorder="1" applyAlignment="1">
      <x:alignment wrapText="0"/>
    </x:xf>
    <x:xf numFmtId="0" fontId="5" fillId="0" borderId="11" xfId="0" applyFont="1" applyBorder="1" applyAlignment="1">
      <x:alignment wrapText="1"/>
    </x:xf>
    <x:xf numFmtId="0" fontId="3" fillId="0" borderId="13" xfId="0" applyFont="1" applyBorder="1"/>
    <x:xf numFmtId="0" fontId="4" fillId="3" borderId="5" xfId="0" applyFont="1" applyBorder="1" applyAlignment="1">
      <x:alignment horizontal="center" wrapText="1"/>
    </x:xf>
    <x:xf numFmtId="0" fontId="4" fillId="0" borderId="8" xfId="0" applyFont="1" applyBorder="1" applyAlignment="1">
      <x:alignment horizontal="left" wrapText="0"/>
    </x:xf>
    <x:xf numFmtId="0" fontId="6" fillId="0" borderId="9" xfId="0" applyFont="1" applyBorder="1" applyAlignment="1">
      <x:alignment horizontal="right" wrapText="0"/>
    </x:xf>
    <x:xf numFmtId="0" fontId="6" fillId="0" borderId="14" xfId="0" applyFont="1" applyBorder="1" applyAlignment="1">
      <x:alignment horizontal="left" wrapText="0"/>
    </x:xf>
    <x:xf numFmtId="0" fontId="4" fillId="0" borderId="8" xfId="0" applyFont="1" applyBorder="1" applyAlignment="1">
      <x:alignment horizontal="center" wrapText="0"/>
    </x:xf>
    <x:xf numFmtId="0" fontId="6" fillId="0" borderId="14" xfId="0" applyFont="1" applyBorder="1" applyAlignment="1">
      <x:alignment wrapText="0"/>
    </x:xf>
    <x:xf numFmtId="0" fontId="4" fillId="0" borderId="8" xfId="0" applyFont="1" applyBorder="1" applyAlignment="1">
      <x:alignment horizontal="left" vertical="center" wrapText="1"/>
    </x:xf>
    <x:xf numFmtId="0" fontId="3" fillId="0" borderId="8" xfId="0" applyFont="1" applyBorder="1"/>
    <x:xf numFmtId="0" fontId="4" fillId="0" borderId="9" xfId="0" applyFont="1" applyBorder="1" applyAlignment="1">
      <x:alignment horizontal="center" wrapText="0"/>
    </x:xf>
    <x:xf numFmtId="0" fontId="4" fillId="0" borderId="14" xfId="0" applyFont="1" applyBorder="1" applyAlignment="1">
      <x:alignment horizontal="center" wrapText="0"/>
    </x:xf>
    <x:xf numFmtId="0" fontId="8" fillId="0" borderId="0" xfId="0" applyFont="1" applyAlignment="1"/>
    <x:xf numFmtId="0" fontId="0" fillId="0" borderId="9" xfId="0" applyFont="1" applyBorder="1" applyAlignment="1">
      <x:alignment horizontal="center" wrapText="0"/>
    </x:xf>
    <x:xf numFmtId="0" fontId="3" fillId="0" borderId="15" xfId="0" applyFont="1" applyBorder="1"/>
    <x:xf numFmtId="0" fontId="7" fillId="2" borderId="1" xfId="0" applyFont="1" applyBorder="1" applyAlignment="1">
      <x:alignment wrapText="0"/>
    </x:xf>
    <x:xf numFmtId="0" fontId="2" fillId="3" borderId="8" xfId="0" applyFont="1" applyBorder="1" applyAlignment="1">
      <x:alignment wrapText="0"/>
    </x:xf>
    <x:xf numFmtId="0" fontId="2" fillId="3" borderId="16" xfId="0" applyFont="1" applyBorder="1" applyAlignment="1">
      <x:alignment wrapText="0"/>
    </x:xf>
    <x:xf numFmtId="0" fontId="4" fillId="3" borderId="17" xfId="0" applyFont="1" applyBorder="1" applyAlignment="1">
      <x:alignment horizontal="center" wrapText="0"/>
    </x:xf>
    <x:xf numFmtId="0" fontId="4" fillId="3" borderId="18" xfId="0" applyFont="1" applyBorder="1" applyAlignment="1">
      <x:alignment horizontal="center" wrapText="0"/>
    </x:xf>
    <x:xf numFmtId="0" fontId="4" fillId="3" borderId="9" xfId="0" applyFont="1" applyBorder="1" applyAlignment="1">
      <x:alignment horizontal="center" wrapText="0"/>
    </x:xf>
    <x:xf numFmtId="0" fontId="2" fillId="3" borderId="9" xfId="0" applyFont="1" applyBorder="1" applyAlignment="1">
      <x:alignment wrapText="0"/>
    </x:xf>
    <x:xf numFmtId="0" fontId="0" fillId="0" borderId="9" xfId="0" applyFont="1" applyBorder="1" applyAlignment="1">
      <x:alignment wrapText="0"/>
    </x:xf>
    <x:xf numFmtId="0" fontId="5" fillId="2" borderId="0" xfId="0" applyFont="1" applyAlignment="1">
      <x:alignment wrapText="0"/>
    </x:xf>
    <x:xf numFmtId="0" fontId="0" fillId="2" borderId="0" xfId="0" applyFont="1" applyAlignment="1">
      <x:alignment wrapText="0"/>
    </x:xf>
    <x:xf numFmtId="0" fontId="6" fillId="0" borderId="0" xfId="0" applyFont="1" applyAlignment="1">
      <x:alignment wrapText="1"/>
    </x:xf>
    <x:xf numFmtId="0" fontId="9" fillId="4" borderId="0" xfId="0" applyFont="1" applyFill="1" applyAlignment="1">
      <x:alignment horizontal="left" wrapText="1"/>
    </x:xf>
  </x:cellXfs>
  <x:cellStyles count="1">
    <x:cellStyle name="Normal" xfId="0"/>
  </x:cellStyles>
  <x:dxfs count="1">
    <x:dxf>
      <x:font>
        <x:color rgb="FF000000"/>
      </x:font>
      <x:fill>
        <x:patternFill>
          <x:bgColor rgb="FFF4CC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05ad1cc6cec341f1" /><Relationship Type="http://schemas.openxmlformats.org/officeDocument/2006/relationships/theme" Target="/xl/theme/theme1.xml" Id="Rdb8138c382aa4e8c" /><Relationship Type="http://schemas.openxmlformats.org/officeDocument/2006/relationships/sharedStrings" Target="/xl/sharedStrings.xml" Id="Rac34c17f2ea041f4" /><Relationship Type="http://schemas.openxmlformats.org/officeDocument/2006/relationships/worksheet" Target="/xl/worksheets/sheet1.xml" Id="R8a7f13a608294e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bba2dcc78654077" /><Relationship Type="http://schemas.openxmlformats.org/officeDocument/2006/relationships/vmlDrawing" Target="/xl/drawings/vmldrawing.vml" Id="Rf97d00b6eeaf45e9" /></Relationships>
</file>

<file path=xl/worksheets/sheet1.xml><?xml version="1.0" encoding="utf-8"?>
<x:worksheet xmlns:x="http://schemas.openxmlformats.org/spreadsheetml/2006/main">
  <x:sheetFormatPr defaultColWidth="13.4399995803833" defaultRowHeight="15.75"/>
  <x:cols>
    <x:col min="1" max="1" width="26.110000610351562" customWidth="1"/>
    <x:col min="2" max="2" width="23.110000610351562" customWidth="1"/>
    <x:col min="3" max="3" width="13.4399995803833" customWidth="1"/>
    <x:col min="4" max="4" width="11.4399995803833" customWidth="1"/>
    <x:col min="5" max="5" width="6.889999866485596" customWidth="1"/>
    <x:col min="6" max="6" width="12.329999923706055" customWidth="1"/>
    <x:col min="7" max="7" width="12.670000076293945" customWidth="1"/>
    <x:col min="8" max="8" width="9" customWidth="1"/>
  </x:cols>
  <x:sheetData>
    <x:row r="1" ht="30" customHeight="1">
      <x:c r="A1" s="1" t="str">
        <x:v>Power Budget — Team 105 Motor / Rotation Control</x:v>
      </x:c>
    </x:row>
    <x:row r="2" ht="15" customHeight="1">
      <x:c r="A2" s="2" t="s">
        <x:v>0</x:v>
      </x:c>
      <x:c r="B2" s="3" t="str">
        <x:v>105</x:v>
      </x:c>
      <x:c r="D2" s="4"/>
      <x:c r="E2" s="4"/>
    </x:row>
    <x:row r="3" ht="15" customHeight="1">
      <x:c r="A3" s="5" t="s">
        <x:v>1</x:v>
      </x:c>
      <x:c r="B3" s="2" t="str">
        <x:v>Phoenix Phorce — Handheld LiDAR Accessibility Aid</x:v>
      </x:c>
      <x:c r="C3" s="6"/>
      <x:c r="D3" s="4"/>
      <x:c r="E3" s="4"/>
      <x:c r="F3" s="6"/>
      <x:c r="G3" s="6"/>
      <x:c r="H3" s="6"/>
    </x:row>
    <x:row r="4" ht="15" customHeight="1">
      <x:c r="A4" s="5" t="s">
        <x:v>2</x:v>
      </x:c>
      <x:c r="B4" s="2" t="str">
        <x:v>Motor / Rotation Control — individual subsystem</x:v>
      </x:c>
      <x:c r="C4" s="6"/>
      <x:c r="D4" s="4"/>
      <x:c r="E4" s="4"/>
      <x:c r="F4" s="6"/>
      <x:c r="G4" s="6"/>
      <x:c r="H4" s="6"/>
    </x:row>
    <x:row r="5" ht="15" customHeight="1">
      <x:c r="A5" s="5" t="s">
        <x:v>3</x:v>
      </x:c>
      <x:c r="B5" s="2" t="str">
        <x:v>Draft: Pololu #5138 Option 2 (motor rail TBD)</x:v>
      </x:c>
      <x:c r="C5" s="6"/>
      <x:c r="D5" s="4"/>
      <x:c r="E5" s="4"/>
      <x:c r="F5" s="6"/>
      <x:c r="G5" s="6"/>
      <x:c r="H5" s="6"/>
    </x:row>
    <x:row r="6" ht="15" customHeight="1">
      <x:c r="A6" s="7"/>
      <x:c r="B6" s="6"/>
      <x:c r="C6" s="6"/>
      <x:c r="D6" s="4"/>
      <x:c r="E6" s="4"/>
      <x:c r="F6" s="6"/>
      <x:c r="G6" s="6"/>
      <x:c r="H6" s="6"/>
    </x:row>
    <x:row r="7" ht="15" customHeight="1">
      <x:c r="A7" s="8" t="s">
        <x:v>4</x:v>
      </x:c>
      <x:c r="B7" s="9"/>
      <x:c r="C7" s="9"/>
      <x:c r="D7" s="9"/>
      <x:c r="E7" s="9"/>
      <x:c r="F7" s="9"/>
      <x:c r="G7" s="9"/>
      <x:c r="H7" s="10"/>
    </x:row>
    <x:row r="8" ht="15" customHeight="1">
      <x:c r="A8" s="11" t="s">
        <x:v>5</x:v>
      </x:c>
      <x:c r="B8" s="12" t="s">
        <x:v>6</x:v>
      </x:c>
      <x:c r="C8" s="12" t="s">
        <x:v>7</x:v>
      </x:c>
      <x:c r="D8" s="13" t="s">
        <x:v>8</x:v>
      </x:c>
      <x:c r="E8" s="13" t="s">
        <x:v>9</x:v>
      </x:c>
      <x:c r="F8" s="14" t="s">
        <x:v>10</x:v>
      </x:c>
      <x:c r="G8" s="15" t="s">
        <x:v>11</x:v>
      </x:c>
      <x:c r="H8" s="15" t="s">
        <x:v>12</x:v>
      </x:c>
    </x:row>
    <x:row r="9" ht="15" customHeight="1">
      <x:c r="A9" s="16"/>
      <x:c r="B9" s="17" t="str">
        <x:v>Scan DC gearmotor</x:v>
      </x:c>
      <x:c r="C9" s="17" t="str">
        <x:v>Pololu #5138 / 100:1 MP 6V</x:v>
      </x:c>
      <x:c r="D9" s="18" t="str">
        <x:v>6V rated (rail TBD)</x:v>
      </x:c>
      <x:c r="E9" s="19" t="n">
        <x:v>1</x:v>
      </x:c>
      <x:c r="F9" s="17" t="n">
        <x:v>670</x:v>
      </x:c>
      <x:c r="G9" s="20" t="n">
        <x:f t="shared" ref="G9:G13" si="1">IF(OR(E9="",F9=""),"",E9*F9)</x:f>
        <x:v>670</x:v>
      </x:c>
      <x:c r="H9" s="21" t="str">
        <x:v>mA</x:v>
      </x:c>
    </x:row>
    <x:row r="10" ht="15" customHeight="1">
      <x:c r="A10" s="16"/>
      <x:c r="B10" s="17" t="str">
        <x:v>Integrated encoder</x:v>
      </x:c>
      <x:c r="C10" s="17" t="str">
        <x:v>Encoder on Pololu #5138</x:v>
      </x:c>
      <x:c r="D10" s="18" t="str">
        <x:v>Encoder supply TBD</x:v>
      </x:c>
      <x:c r="E10" s="19" t="n">
        <x:v>1</x:v>
      </x:c>
      <x:c r="F10" s="17"/>
      <x:c r="G10" s="20" t="str">
        <x:f t="shared" si="1">IF(OR(E10="",F10=""),"",E10*F10)</x:f>
      </x:c>
      <x:c r="H10" s="21" t="str">
        <x:v>mA</x:v>
      </x:c>
    </x:row>
    <x:row r="11" ht="15" customHeight="1">
      <x:c r="A11" s="16"/>
      <x:c r="B11" s="22" t="str">
        <x:v>Motor driver IC</x:v>
      </x:c>
      <x:c r="C11" s="17" t="str">
        <x:v>TI DRV8833 (package TBD)</x:v>
      </x:c>
      <x:c r="D11" s="19" t="str">
        <x:v>2.7–10.8V VM</x:v>
      </x:c>
      <x:c r="E11" s="19" t="n">
        <x:v>1</x:v>
      </x:c>
      <x:c r="F11" s="17"/>
      <x:c r="G11" s="20" t="str">
        <x:f t="shared" si="1">IF(OR(E11="",F11=""),"",E11*F11)</x:f>
      </x:c>
      <x:c r="H11" s="21" t="str">
        <x:v>mA</x:v>
      </x:c>
    </x:row>
    <x:row r="12" ht="15" customHeight="1">
      <x:c r="A12" s="16"/>
      <x:c r="B12" s="23" t="str">
        <x:v>PIC Curiosity Nano</x:v>
      </x:c>
      <x:c r="C12" s="23" t="str">
        <x:v>PIC18F57Q43 Curiosity Nano</x:v>
      </x:c>
      <x:c r="D12" s="24" t="str">
        <x:v>Logic rail TBD</x:v>
      </x:c>
      <x:c r="E12" s="18" t="n">
        <x:v>1</x:v>
      </x:c>
      <x:c r="F12" s="23"/>
      <x:c r="G12" s="20" t="str">
        <x:f t="shared" si="1">IF(OR(E12="",F12=""),"",E12*F12)</x:f>
      </x:c>
      <x:c r="H12" s="21" t="str">
        <x:v>mA</x:v>
      </x:c>
    </x:row>
    <x:row r="13" ht="15" customHeight="1">
      <x:c r="A13" s="16"/>
      <x:c r="B13" s="17" t="str">
        <x:v>Home-position sensor (if active)</x:v>
      </x:c>
      <x:c r="C13" s="23" t="str">
        <x:v>TBD / switch may be passive</x:v>
      </x:c>
      <x:c r="D13" s="18" t="str">
        <x:v>TBD</x:v>
      </x:c>
      <x:c r="E13" s="19" t="n">
        <x:v>1</x:v>
      </x:c>
      <x:c r="F13" s="17"/>
      <x:c r="G13" s="20" t="str">
        <x:f t="shared" si="1">IF(OR(E13="",F13=""),"",E13*F13)</x:f>
      </x:c>
      <x:c r="H13" s="21" t="str">
        <x:v>mA</x:v>
      </x:c>
    </x:row>
    <x:row r="14" ht="15" customHeight="1">
      <x:c r="A14" s="16"/>
      <x:c r="B14" s="23"/>
      <x:c r="C14" s="17"/>
      <x:c r="D14" s="18"/>
      <x:c r="E14" s="19"/>
      <x:c r="F14" s="17"/>
      <x:c r="G14" s="20"/>
      <x:c r="H14" s="21" t="str">
        <x:v>mA</x:v>
      </x:c>
    </x:row>
    <x:row r="15" ht="15" customHeight="1">
      <x:c r="A15" s="25"/>
      <x:c r="B15" s="7"/>
      <x:c r="C15" s="26"/>
      <x:c r="D15" s="27"/>
      <x:c r="E15" s="4"/>
      <x:c r="F15" s="26"/>
      <x:c r="G15" s="28"/>
      <x:c r="H15" s="28"/>
    </x:row>
    <x:row r="16" ht="15" customHeight="1">
      <x:c r="A16" s="8" t="s">
        <x:v>13</x:v>
      </x:c>
      <x:c r="B16" s="9"/>
      <x:c r="C16" s="9"/>
      <x:c r="D16" s="9"/>
      <x:c r="E16" s="9"/>
      <x:c r="F16" s="9"/>
      <x:c r="G16" s="9"/>
      <x:c r="H16" s="10"/>
    </x:row>
    <x:row r="17" ht="15" customHeight="1">
      <x:c r="A17" s="29" t="str">
        <x:v>Motor power rail — voltage TBD (Pololu #5138 nominal 6V)</x:v>
      </x:c>
      <x:c r="B17" s="12" t="s">
        <x:v>6</x:v>
      </x:c>
      <x:c r="C17" s="12" t="s">
        <x:v>7</x:v>
      </x:c>
      <x:c r="D17" s="13" t="s">
        <x:v>8</x:v>
      </x:c>
      <x:c r="E17" s="13" t="s">
        <x:v>9</x:v>
      </x:c>
      <x:c r="F17" s="14" t="s">
        <x:v>10</x:v>
      </x:c>
      <x:c r="G17" s="15" t="s">
        <x:v>11</x:v>
      </x:c>
      <x:c r="H17" s="15" t="s">
        <x:v>12</x:v>
      </x:c>
    </x:row>
    <x:row r="18" ht="15" customHeight="1">
      <x:c r="A18" s="16"/>
      <x:c r="B18" s="17" t="str">
        <x:v>Scan DC gearmotor</x:v>
      </x:c>
      <x:c r="C18" s="17" t="str">
        <x:v>Pololu #5138</x:v>
      </x:c>
      <x:c r="D18" s="18" t="str">
        <x:v>6 V nominal</x:v>
      </x:c>
      <x:c r="E18" s="19" t="n">
        <x:v>1</x:v>
      </x:c>
      <x:c r="F18" s="17" t="n">
        <x:v>670</x:v>
      </x:c>
      <x:c r="G18" s="20" t="n">
        <x:f t="shared" ref="G18:G22" si="2">IF(OR(E18="",F18=""),"",E18*F18)</x:f>
        <x:v>670</x:v>
      </x:c>
      <x:c r="H18" s="21" t="str">
        <x:v>mA</x:v>
      </x:c>
    </x:row>
    <x:row r="19" ht="15" customHeight="1">
      <x:c r="A19" s="16"/>
      <x:c r="B19" s="17" t="str">
        <x:v>DRV8833 quiescent supply</x:v>
      </x:c>
      <x:c r="C19" s="17" t="str">
        <x:v>TI DRV8833</x:v>
      </x:c>
      <x:c r="D19" s="18" t="str">
        <x:v>VM TBD</x:v>
      </x:c>
      <x:c r="E19" s="19" t="n">
        <x:v>1</x:v>
      </x:c>
      <x:c r="F19" s="17"/>
      <x:c r="G19" s="20" t="str">
        <x:f t="shared" si="2">IF(OR(E19="",F19=""),"",E19*F19)</x:f>
      </x:c>
      <x:c r="H19" s="21" t="str">
        <x:v>mA</x:v>
      </x:c>
    </x:row>
    <x:row r="20" ht="15" customHeight="1">
      <x:c r="A20" s="16"/>
      <x:c r="B20" s="17"/>
      <x:c r="C20" s="17"/>
      <x:c r="D20" s="19"/>
      <x:c r="E20" s="19"/>
      <x:c r="F20" s="17"/>
      <x:c r="G20" s="20">
        <x:f t="shared" si="2"/>
      </x:c>
      <x:c r="H20" s="21" t="str">
        <x:v>mA</x:v>
      </x:c>
    </x:row>
    <x:row r="21" ht="15" customHeight="1">
      <x:c r="A21" s="16"/>
      <x:c r="B21" s="17"/>
      <x:c r="C21" s="17"/>
      <x:c r="D21" s="19"/>
      <x:c r="E21" s="19"/>
      <x:c r="F21" s="17"/>
      <x:c r="G21" s="20">
        <x:f t="shared" si="2"/>
      </x:c>
      <x:c r="H21" s="21" t="str">
        <x:v>mA</x:v>
      </x:c>
    </x:row>
    <x:row r="22" ht="15" customHeight="1">
      <x:c r="A22" s="16"/>
      <x:c r="B22"/>
      <x:c r="C22" s="17"/>
      <x:c r="D22" s="19"/>
      <x:c r="E22" s="19"/>
      <x:c r="F22" s="17"/>
      <x:c r="G22" s="20">
        <x:f t="shared" si="2"/>
      </x:c>
      <x:c r="H22" s="21" t="str">
        <x:v>mA</x:v>
      </x:c>
    </x:row>
    <x:row r="23" ht="15" customHeight="1">
      <x:c r="A23" s="16"/>
      <x:c r="B23" s="30" t="s">
        <x:v>14</x:v>
      </x:c>
      <x:c r="G23" s="20" t="str">
        <x:f>IF(COUNT(G18:G19)&lt;2,"",SUM(G18:G22))</x:f>
      </x:c>
      <x:c r="H23" s="21" t="s">
        <x:v>15</x:v>
      </x:c>
    </x:row>
    <x:row r="24" ht="15" customHeight="1">
      <x:c r="A24" s="16"/>
      <x:c r="B24" s="30" t="s">
        <x:v>16</x:v>
      </x:c>
      <x:c r="G24" s="31" t="n">
        <x:v>0.25</x:v>
      </x:c>
      <x:c r="H24" s="31"/>
    </x:row>
    <x:row r="25" ht="15" customHeight="1">
      <x:c r="A25" s="32"/>
      <x:c r="B25" s="33" t="s">
        <x:v>17</x:v>
      </x:c>
      <x:c r="G25" s="20" t="str">
        <x:f>IF(G23="","",G23*(1+G24))</x:f>
      </x:c>
      <x:c r="H25" s="21" t="s">
        <x:v>15</x:v>
      </x:c>
    </x:row>
    <x:row r="26" ht="15" customHeight="1">
      <x:c r="A26" s="34"/>
      <x:c r="B26" s="35"/>
      <x:c r="C26" s="35"/>
      <x:c r="D26" s="18"/>
      <x:c r="E26" s="18"/>
      <x:c r="F26" s="36"/>
      <x:c r="G26" s="37"/>
      <x:c r="H26" s="20"/>
    </x:row>
    <x:row r="27" ht="15" customHeight="1">
      <x:c r="A27" s="34" t="s">
        <x:v>18</x:v>
      </x:c>
      <x:c r="B27" s="35" t="str">
        <x:v>Motor supply from Power Board</x:v>
      </x:c>
      <x:c r="C27" s="35" t="str">
        <x:v>P2 VMOTOR, source TBD</x:v>
      </x:c>
      <x:c r="D27" s="18" t="str">
        <x:v>5V proposed / 6V rated</x:v>
      </x:c>
      <x:c r="E27" s="18" t="n">
        <x:v>1</x:v>
      </x:c>
      <x:c r="F27" s="36"/>
      <x:c r="G27" s="37" t="str">
        <x:f>IF(OR(E27="",F27=""),"",E27*F27)</x:f>
      </x:c>
      <x:c r="H27" s="21" t="str">
        <x:v>mA</x:v>
      </x:c>
    </x:row>
    <x:row r="28" ht="15" customHeight="1">
      <x:c r="A28" s="38"/>
      <x:c r="B28" s="39" t="s">
        <x:v>19</x:v>
      </x:c>
      <x:c r="C28" s="40"/>
      <x:c r="D28" s="40"/>
      <x:c r="E28" s="40"/>
      <x:c r="F28" s="40"/>
      <x:c r="G28" s="37" t="str">
        <x:f>IF(OR(G27="",G25=""),"",G27-G25)</x:f>
      </x:c>
      <x:c r="H28" s="21" t="s">
        <x:v>15</x:v>
      </x:c>
    </x:row>
    <x:row r="29" ht="15" customHeight="1">
      <x:c r="A29" s="29" t="str">
        <x:v>Unused rail — no separate +5V load assigned here</x:v>
      </x:c>
      <x:c r="B29" s="12" t="s">
        <x:v>6</x:v>
      </x:c>
      <x:c r="C29" s="12" t="s">
        <x:v>7</x:v>
      </x:c>
      <x:c r="D29" s="13" t="s">
        <x:v>8</x:v>
      </x:c>
      <x:c r="E29" s="13" t="s">
        <x:v>9</x:v>
      </x:c>
      <x:c r="F29" s="14" t="s">
        <x:v>10</x:v>
      </x:c>
      <x:c r="G29" s="41" t="s">
        <x:v>11</x:v>
      </x:c>
      <x:c r="H29" s="41" t="s">
        <x:v>12</x:v>
      </x:c>
    </x:row>
    <x:row r="30" ht="15" customHeight="1">
      <x:c r="A30" s="42"/>
      <x:c r="B30" s="22"/>
      <x:c r="C30" s="17"/>
      <x:c r="D30" s="19"/>
      <x:c r="E30" s="19"/>
      <x:c r="F30" s="17"/>
      <x:c r="G30" s="20">
        <x:f t="shared" ref="G30:G34" si="3">E30*F30</x:f>
      </x:c>
      <x:c r="H30" s="21" t="str">
        <x:v>mA</x:v>
      </x:c>
    </x:row>
    <x:row r="31" ht="15" customHeight="1">
      <x:c r="A31" s="16"/>
      <x:c r="B31" s="23"/>
      <x:c r="C31" s="23"/>
      <x:c r="D31" s="18"/>
      <x:c r="E31" s="18"/>
      <x:c r="F31" s="23"/>
      <x:c r="G31" s="20">
        <x:f t="shared" si="3"/>
      </x:c>
      <x:c r="H31" s="21" t="str">
        <x:v>mA</x:v>
      </x:c>
    </x:row>
    <x:row r="32" ht="15" customHeight="1">
      <x:c r="A32" s="16"/>
      <x:c r="B32" s="17"/>
      <x:c r="C32" s="17"/>
      <x:c r="D32" s="19"/>
      <x:c r="E32" s="19"/>
      <x:c r="F32" s="17"/>
      <x:c r="G32" s="20">
        <x:f t="shared" si="3"/>
      </x:c>
      <x:c r="H32" s="21" t="str">
        <x:v>mA</x:v>
      </x:c>
    </x:row>
    <x:row r="33" ht="15" customHeight="1">
      <x:c r="A33" s="16"/>
      <x:c r="B33" s="17"/>
      <x:c r="C33" s="17"/>
      <x:c r="D33" s="19"/>
      <x:c r="E33" s="19"/>
      <x:c r="F33" s="17"/>
      <x:c r="G33" s="20">
        <x:f t="shared" si="3"/>
      </x:c>
      <x:c r="H33" s="21" t="str">
        <x:v>mA</x:v>
      </x:c>
    </x:row>
    <x:row r="34" ht="15" customHeight="1">
      <x:c r="A34" s="16"/>
      <x:c r="B34" s="17"/>
      <x:c r="C34" s="17"/>
      <x:c r="D34" s="19"/>
      <x:c r="E34" s="19"/>
      <x:c r="F34" s="17"/>
      <x:c r="G34" s="20">
        <x:f t="shared" si="3"/>
      </x:c>
      <x:c r="H34" s="21" t="str">
        <x:v>mA</x:v>
      </x:c>
    </x:row>
    <x:row r="35" ht="15" customHeight="1">
      <x:c r="A35" s="16"/>
      <x:c r="B35" s="30" t="s">
        <x:v>14</x:v>
      </x:c>
      <x:c r="G35" s="20"/>
      <x:c r="H35" s="21" t="s">
        <x:v>15</x:v>
      </x:c>
    </x:row>
    <x:row r="36" ht="15" customHeight="1">
      <x:c r="A36" s="16"/>
      <x:c r="B36" s="30" t="s">
        <x:v>16</x:v>
      </x:c>
      <x:c r="G36" s="31" t="n">
        <x:v>0.25</x:v>
      </x:c>
      <x:c r="H36" s="31"/>
    </x:row>
    <x:row r="37" ht="15" customHeight="1">
      <x:c r="A37" s="32"/>
      <x:c r="B37" s="33" t="s">
        <x:v>20</x:v>
      </x:c>
      <x:c r="G37" s="20"/>
      <x:c r="H37" s="21" t="s">
        <x:v>15</x:v>
      </x:c>
    </x:row>
    <x:row r="38" ht="15" customHeight="1">
      <x:c r="A38" s="34"/>
      <x:c r="B38" s="35"/>
      <x:c r="C38" s="35"/>
      <x:c r="D38" s="18"/>
      <x:c r="E38" s="18"/>
      <x:c r="F38" s="36"/>
      <x:c r="G38" s="37"/>
      <x:c r="H38" s="20"/>
    </x:row>
    <x:row r="39" ht="15" customHeight="1">
      <x:c r="A39" s="34" t="s">
        <x:v>21</x:v>
      </x:c>
      <x:c r="B39" s="35" t="str">
        <x:v>Not applicable</x:v>
      </x:c>
      <x:c r="C39" s="35" t="str">
        <x:v>No independent +5V rail</x:v>
      </x:c>
      <x:c r="D39" s="18" t="str">
        <x:v>N/A</x:v>
      </x:c>
      <x:c r="E39" s="18"/>
      <x:c r="F39" s="36"/>
      <x:c r="G39" s="37"/>
      <x:c r="H39" s="21" t="s">
        <x:v>15</x:v>
      </x:c>
    </x:row>
    <x:row r="40" ht="15" customHeight="1">
      <x:c r="A40" s="38"/>
      <x:c r="B40" s="39" t="s">
        <x:v>22</x:v>
      </x:c>
      <x:c r="C40" s="40"/>
      <x:c r="D40" s="40"/>
      <x:c r="E40" s="40"/>
      <x:c r="F40" s="40"/>
      <x:c r="G40" s="37"/>
      <x:c r="H40" s="21" t="s">
        <x:v>15</x:v>
      </x:c>
    </x:row>
    <x:row r="41" ht="15" customHeight="1">
      <x:c r="A41" s="29" t="str">
        <x:v>Unused rail — no negative supply required</x:v>
      </x:c>
      <x:c r="B41" s="12" t="s">
        <x:v>6</x:v>
      </x:c>
      <x:c r="C41" s="12" t="s">
        <x:v>7</x:v>
      </x:c>
      <x:c r="D41" s="13" t="s">
        <x:v>8</x:v>
      </x:c>
      <x:c r="E41" s="13" t="s">
        <x:v>9</x:v>
      </x:c>
      <x:c r="F41" s="14" t="s">
        <x:v>10</x:v>
      </x:c>
      <x:c r="G41" s="41" t="s">
        <x:v>11</x:v>
      </x:c>
      <x:c r="H41" s="41" t="s">
        <x:v>12</x:v>
      </x:c>
    </x:row>
    <x:row r="42" ht="15" customHeight="1">
      <x:c r="A42" s="16"/>
      <x:c r="B42" s="23"/>
      <x:c r="C42" s="17"/>
      <x:c r="D42" s="18"/>
      <x:c r="E42" s="19"/>
      <x:c r="F42" s="23"/>
      <x:c r="G42" s="21"/>
      <x:c r="H42" s="21" t="str">
        <x:v>mA</x:v>
      </x:c>
    </x:row>
    <x:row r="43" ht="15" customHeight="1">
      <x:c r="A43" s="16"/>
      <x:c r="B43" s="17"/>
      <x:c r="C43" s="17"/>
      <x:c r="D43" s="19"/>
      <x:c r="E43" s="19"/>
      <x:c r="F43" s="17"/>
      <x:c r="G43" s="20">
        <x:f t="shared" ref="G43:G45" si="4">E43*F43</x:f>
      </x:c>
      <x:c r="H43" s="21" t="str">
        <x:v>mA</x:v>
      </x:c>
    </x:row>
    <x:row r="44" ht="15" customHeight="1">
      <x:c r="A44" s="16"/>
      <x:c r="B44" s="17"/>
      <x:c r="C44" s="17"/>
      <x:c r="D44" s="19"/>
      <x:c r="E44" s="19"/>
      <x:c r="F44" s="17"/>
      <x:c r="G44" s="20">
        <x:f t="shared" si="4"/>
      </x:c>
      <x:c r="H44" s="21" t="str">
        <x:v>mA</x:v>
      </x:c>
    </x:row>
    <x:row r="45" ht="15" customHeight="1">
      <x:c r="A45" s="16"/>
      <x:c r="B45" s="17"/>
      <x:c r="C45" s="17"/>
      <x:c r="D45" s="19"/>
      <x:c r="E45" s="19"/>
      <x:c r="F45" s="17"/>
      <x:c r="G45" s="20">
        <x:f t="shared" si="4"/>
      </x:c>
      <x:c r="H45" s="21" t="str">
        <x:v>mA</x:v>
      </x:c>
    </x:row>
    <x:row r="46" ht="15" customHeight="1">
      <x:c r="A46" s="16"/>
      <x:c r="B46" s="30" t="s">
        <x:v>14</x:v>
      </x:c>
      <x:c r="G46" s="20"/>
      <x:c r="H46" s="21" t="s">
        <x:v>15</x:v>
      </x:c>
    </x:row>
    <x:row r="47" ht="15" customHeight="1">
      <x:c r="A47" s="16"/>
      <x:c r="B47" s="30" t="s">
        <x:v>16</x:v>
      </x:c>
      <x:c r="G47" s="31">
        <x:v>0.25</x:v>
      </x:c>
      <x:c r="H47" s="31"/>
    </x:row>
    <x:row r="48" ht="15" customHeight="1">
      <x:c r="A48" s="16"/>
      <x:c r="B48" s="33" t="s">
        <x:v>23</x:v>
      </x:c>
      <x:c r="G48" s="20"/>
      <x:c r="H48" s="21" t="s">
        <x:v>15</x:v>
      </x:c>
    </x:row>
    <x:row r="49" ht="15" customHeight="1">
      <x:c r="A49" s="34"/>
      <x:c r="B49" s="35"/>
      <x:c r="C49" s="35"/>
      <x:c r="D49" s="18"/>
      <x:c r="E49" s="18"/>
      <x:c r="F49" s="36"/>
      <x:c r="G49" s="37"/>
      <x:c r="H49" s="20"/>
    </x:row>
    <x:row r="50" ht="15" customHeight="1">
      <x:c r="A50" s="34" t="s">
        <x:v>24</x:v>
      </x:c>
      <x:c r="B50" s="35" t="str">
        <x:v>Not applicable</x:v>
      </x:c>
      <x:c r="C50" s="35" t="str">
        <x:v>No negative rail</x:v>
      </x:c>
      <x:c r="D50" s="18" t="str">
        <x:v>N/A</x:v>
      </x:c>
      <x:c r="E50" s="18"/>
      <x:c r="F50" s="36"/>
      <x:c r="G50" s="37"/>
      <x:c r="H50" s="21" t="s">
        <x:v>15</x:v>
      </x:c>
    </x:row>
    <x:row r="51" ht="15" customHeight="1">
      <x:c r="A51" s="38"/>
      <x:c r="B51" s="39" t="s">
        <x:v>25</x:v>
      </x:c>
      <x:c r="C51" s="40"/>
      <x:c r="D51" s="40"/>
      <x:c r="E51" s="40"/>
      <x:c r="F51" s="40"/>
      <x:c r="G51" s="37"/>
      <x:c r="H51" s="21" t="s">
        <x:v>15</x:v>
      </x:c>
    </x:row>
    <x:row r="52" ht="15" customHeight="1">
      <x:c r="A52" s="29" t="str">
        <x:v>+3.3V local logic / encoder rail (regulator not selected)</x:v>
      </x:c>
      <x:c r="B52" s="12" t="s">
        <x:v>6</x:v>
      </x:c>
      <x:c r="C52" s="12" t="s">
        <x:v>7</x:v>
      </x:c>
      <x:c r="D52" s="13" t="s">
        <x:v>8</x:v>
      </x:c>
      <x:c r="E52" s="13" t="s">
        <x:v>9</x:v>
      </x:c>
      <x:c r="F52" s="14" t="s">
        <x:v>10</x:v>
      </x:c>
      <x:c r="G52" s="41" t="s">
        <x:v>11</x:v>
      </x:c>
      <x:c r="H52" s="41" t="s">
        <x:v>12</x:v>
      </x:c>
    </x:row>
    <x:row r="53" ht="15" customHeight="1">
      <x:c r="A53" s="16"/>
      <x:c r="B53" s="23" t="str">
        <x:v>Curiosity Nano / PIC</x:v>
      </x:c>
      <x:c r="C53" s="17" t="str">
        <x:v>PIC18F57Q43</x:v>
      </x:c>
      <x:c r="D53" s="18" t="str">
        <x:v>3.3V logic (power input check)</x:v>
      </x:c>
      <x:c r="E53" s="19" t="n">
        <x:v>1</x:v>
      </x:c>
      <x:c r="F53" s="17"/>
      <x:c r="G53" s="20" t="str">
        <x:f>IF(OR(E53="",F53=""),"",E53*F53)</x:f>
      </x:c>
      <x:c r="H53" s="21" t="str">
        <x:v>mA</x:v>
      </x:c>
    </x:row>
    <x:row r="54" ht="15" customHeight="1">
      <x:c r="A54" s="16"/>
      <x:c r="B54" s="17" t="str">
        <x:v>Integrated encoder</x:v>
      </x:c>
      <x:c r="C54" s="17" t="str">
        <x:v>Pololu #5138 encoder</x:v>
      </x:c>
      <x:c r="D54" s="19" t="str">
        <x:v>3.3V compatibility check</x:v>
      </x:c>
      <x:c r="E54" s="19" t="n">
        <x:v>1</x:v>
      </x:c>
      <x:c r="F54" s="17"/>
      <x:c r="G54" s="20" t="str">
        <x:f t="shared" ref="G54:G56" si="5">IF(OR(E54="",F54=""),"",E54*F54)</x:f>
      </x:c>
      <x:c r="H54" s="21" t="str">
        <x:v>mA</x:v>
      </x:c>
    </x:row>
    <x:row r="55" ht="15" customHeight="1">
      <x:c r="A55" s="16"/>
      <x:c r="B55" s="17" t="str">
        <x:v>Home sensor (if active)</x:v>
      </x:c>
      <x:c r="C55" s="17" t="str">
        <x:v>TBD; omit if passive switch</x:v>
      </x:c>
      <x:c r="D55" s="19" t="str">
        <x:v>3.3V assumed</x:v>
      </x:c>
      <x:c r="E55" s="19" t="n">
        <x:v>1</x:v>
      </x:c>
      <x:c r="F55" s="17"/>
      <x:c r="G55" s="20" t="str">
        <x:f t="shared" si="5">IF(OR(E55="",F55=""),"",E55*F55)</x:f>
      </x:c>
      <x:c r="H55" s="21" t="str">
        <x:v>mA</x:v>
      </x:c>
    </x:row>
    <x:row r="56" ht="15" customHeight="1">
      <x:c r="A56" s="16"/>
      <x:c r="B56" s="17"/>
      <x:c r="C56" s="17"/>
      <x:c r="D56" s="19"/>
      <x:c r="E56" s="19"/>
      <x:c r="F56" s="17"/>
      <x:c r="G56" s="20">
        <x:f t="shared" si="5"/>
      </x:c>
      <x:c r="H56" s="21" t="str">
        <x:v>mA</x:v>
      </x:c>
    </x:row>
    <x:row r="57" ht="15" customHeight="1">
      <x:c r="A57" s="16"/>
      <x:c r="B57" s="30" t="s">
        <x:v>14</x:v>
      </x:c>
      <x:c r="G57" s="20" t="str">
        <x:f>IF(COUNT(G53:G55)&lt;3,"",SUM(G53:G56))</x:f>
      </x:c>
      <x:c r="H57" s="21" t="s">
        <x:v>15</x:v>
      </x:c>
    </x:row>
    <x:row r="58" ht="15" customHeight="1">
      <x:c r="A58" s="16"/>
      <x:c r="B58" s="30" t="s">
        <x:v>16</x:v>
      </x:c>
      <x:c r="G58" s="31" t="n">
        <x:v>0.25</x:v>
      </x:c>
      <x:c r="H58" s="31"/>
    </x:row>
    <x:row r="59" ht="15" customHeight="1">
      <x:c r="A59" s="16"/>
      <x:c r="B59" s="33" t="s">
        <x:v>26</x:v>
      </x:c>
      <x:c r="G59" s="20" t="str">
        <x:f>IF(G57="","",G57*(1+G58))</x:f>
      </x:c>
      <x:c r="H59" s="21" t="s">
        <x:v>15</x:v>
      </x:c>
    </x:row>
    <x:row r="60" ht="15" customHeight="1">
      <x:c r="A60" s="34"/>
      <x:c r="B60" s="23"/>
      <x:c r="C60" s="17"/>
      <x:c r="D60" s="18"/>
      <x:c r="E60" s="19"/>
      <x:c r="F60" s="17"/>
      <x:c r="G60" s="20"/>
      <x:c r="H60" s="28"/>
    </x:row>
    <x:row r="61" ht="15" customHeight="1">
      <x:c r="A61" s="34" t="s">
        <x:v>27</x:v>
      </x:c>
      <x:c r="B61" s="23" t="str">
        <x:v>3.3V local regulator</x:v>
      </x:c>
      <x:c r="C61" s="17" t="str">
        <x:v>3.3V LDO TBD — select 2 options</x:v>
      </x:c>
      <x:c r="D61" s="18" t="str">
        <x:v>5V in / 3.3V out</x:v>
      </x:c>
      <x:c r="E61" s="19" t="n">
        <x:v>1</x:v>
      </x:c>
      <x:c r="F61" s="17"/>
      <x:c r="G61" s="20" t="str">
        <x:f>IF(OR(E61="",F61=""),"",E61*F61)</x:f>
      </x:c>
      <x:c r="H61" s="21" t="str">
        <x:v>mA</x:v>
      </x:c>
    </x:row>
    <x:row r="62" ht="15" customHeight="1">
      <x:c r="A62" s="16"/>
      <x:c r="B62" s="43" t="s">
        <x:v>28</x:v>
      </x:c>
      <x:c r="G62" s="37" t="str">
        <x:f>IF(OR(G61="",G59=""),"",G61-G59)</x:f>
      </x:c>
      <x:c r="H62" s="21" t="s">
        <x:v>15</x:v>
      </x:c>
    </x:row>
    <x:row r="63" ht="15" customHeight="1">
      <x:c r="A63" s="44"/>
      <x:c r="B63" s="45"/>
      <x:c r="C63" s="45"/>
      <x:c r="D63" s="45"/>
      <x:c r="E63" s="45"/>
      <x:c r="F63" s="45"/>
      <x:c r="G63" s="46"/>
      <x:c r="H63" s="47"/>
    </x:row>
    <x:row r="64" ht="15" customHeight="1">
      <x:c r="A64" s="8" t="s">
        <x:v>29</x:v>
      </x:c>
      <x:c r="B64" s="9"/>
      <x:c r="C64" s="9"/>
      <x:c r="D64" s="9"/>
      <x:c r="E64" s="9"/>
      <x:c r="F64" s="9"/>
      <x:c r="G64" s="9"/>
      <x:c r="H64" s="10"/>
    </x:row>
    <x:row r="65" ht="15" customHeight="1">
      <x:c r="A65" s="48"/>
      <x:c r="B65" s="40"/>
      <x:c r="C65" s="40"/>
      <x:c r="D65" s="40"/>
      <x:c r="E65" s="40"/>
      <x:c r="F65" s="40"/>
      <x:c r="G65" s="40"/>
      <x:c r="H65" s="49"/>
    </x:row>
    <x:row r="66" ht="15" customHeight="1">
      <x:c r="A66" s="8" t="s">
        <x:v>30</x:v>
      </x:c>
      <x:c r="B66" s="9"/>
      <x:c r="C66" s="9"/>
      <x:c r="D66" s="9"/>
      <x:c r="E66" s="9"/>
      <x:c r="F66" s="9"/>
      <x:c r="G66" s="9"/>
      <x:c r="H66" s="10"/>
    </x:row>
    <x:row r="67" ht="15" customHeight="1">
      <x:c r="A67" s="29" t="s">
        <x:v>31</x:v>
      </x:c>
      <x:c r="B67" s="12" t="s">
        <x:v>6</x:v>
      </x:c>
      <x:c r="C67" s="12" t="s">
        <x:v>7</x:v>
      </x:c>
      <x:c r="D67" s="13" t="s">
        <x:v>8</x:v>
      </x:c>
      <x:c r="E67" s="50" t="s">
        <x:v>32</x:v>
      </x:c>
      <x:c r="F67" s="14" t="s">
        <x:v>10</x:v>
      </x:c>
      <x:c r="G67" s="41" t="s">
        <x:v>11</x:v>
      </x:c>
      <x:c r="H67" s="41" t="s">
        <x:v>12</x:v>
      </x:c>
    </x:row>
    <x:row r="68" ht="15" customHeight="1">
      <x:c r="A68" s="51" t="s">
        <x:v>33</x:v>
      </x:c>
      <x:c r="B68" s="35" t="str">
        <x:v>Shared regulated power supply</x:v>
      </x:c>
      <x:c r="C68" s="18" t="str">
        <x:v>Power Board / P2</x:v>
      </x:c>
      <x:c r="D68" s="18" t="str">
        <x:v>Supply current TBD</x:v>
      </x:c>
      <x:c r="E68" s="18" t="n">
        <x:v>1</x:v>
      </x:c>
      <x:c r="F68" s="36"/>
      <x:c r="G68" s="52" t="str">
        <x:f>IF(OR(E68="",F68=""),"",E68*F68)</x:f>
      </x:c>
      <x:c r="H68" s="53" t="str">
        <x:v>mA</x:v>
      </x:c>
    </x:row>
    <x:row r="69" ht="15" customHeight="1">
      <x:c r="A69" s="54"/>
      <x:c r="B69" s="35"/>
      <x:c r="C69" s="35"/>
      <x:c r="D69" s="18"/>
      <x:c r="E69" s="18"/>
      <x:c r="F69" s="36"/>
      <x:c r="G69" s="37"/>
      <x:c r="H69" s="55"/>
    </x:row>
    <x:row r="70" ht="15" customHeight="1">
      <x:c r="A70" s="56" t="s">
        <x:v>34</x:v>
      </x:c>
      <x:c r="B70" s="35" t="str">
        <x:v>Motor rail (with margin)</x:v>
      </x:c>
      <x:c r="C70" s="35" t="str">
        <x:v>Scan board + Motor driver</x:v>
      </x:c>
      <x:c r="D70" s="18" t="str">
        <x:v>motor voltage TBD</x:v>
      </x:c>
      <x:c r="E70" s="18" t="n">
        <x:v>1</x:v>
      </x:c>
      <x:c r="F70" s="36" t="str">
        <x:f>IF(G25="","",G25)</x:f>
      </x:c>
      <x:c r="G70" s="37" t="str">
        <x:f t="shared" ref="G70:G72" si="6">IF(F70="","",F70)</x:f>
      </x:c>
      <x:c r="H70" s="21" t="str">
        <x:v>mA</x:v>
      </x:c>
    </x:row>
    <x:row r="71" ht="15" customHeight="1">
      <x:c r="A71" s="57"/>
      <x:c r="B71" s="35" t="str">
        <x:v>3.3V LDO input load</x:v>
      </x:c>
      <x:c r="C71" s="35" t="str">
        <x:v>Local logic regulator</x:v>
      </x:c>
      <x:c r="D71" s="18" t="str">
        <x:v>Input from power board</x:v>
      </x:c>
      <x:c r="E71" s="18" t="n">
        <x:v>1</x:v>
      </x:c>
      <x:c r="F71" s="36"/>
      <x:c r="G71" s="37" t="str">
        <x:f t="shared" si="6">IF(OR(E71="",F71=""),"",E71*F71)</x:f>
      </x:c>
      <x:c r="H71" s="21" t="str">
        <x:v>mA</x:v>
      </x:c>
    </x:row>
    <x:row r="72" ht="15" customHeight="1">
      <x:c r="A72" s="57"/>
      <x:c r="B72" s="23" t="str">
        <x:v>Other boards — total</x:v>
      </x:c>
      <x:c r="C72" s="17" t="str">
        <x:v>Team-wide allocation TBD</x:v>
      </x:c>
      <x:c r="D72" s="18" t="str">
        <x:v>TBD</x:v>
      </x:c>
      <x:c r="E72" s="19" t="n">
        <x:v>1</x:v>
      </x:c>
      <x:c r="F72" s="17"/>
      <x:c r="G72" s="20" t="str">
        <x:f t="shared" si="6">IF(OR(E72="",F72=""),"",E72*F72)</x:f>
      </x:c>
      <x:c r="H72" s="21" t="str">
        <x:v>mA</x:v>
      </x:c>
    </x:row>
    <x:row r="73" ht="15" customHeight="1">
      <x:c r="A73" s="54"/>
      <x:c r="B73" s="43" t="s">
        <x:v>35</x:v>
      </x:c>
      <x:c r="G73" s="52" t="str">
        <x:f>IF(OR(G68="",G70="",G71="",G72=""),"",G68-SUM(G70:G72))</x:f>
      </x:c>
      <x:c r="H73" s="53" t="s">
        <x:v>15</x:v>
      </x:c>
    </x:row>
    <x:row r="74" ht="15" customHeight="1">
      <x:c r="A74" s="54"/>
      <x:c r="B74" s="4"/>
      <x:c r="C74" s="4"/>
      <x:c r="D74" s="27"/>
      <x:c r="E74" s="27"/>
      <x:c r="F74" s="27"/>
      <x:c r="G74" s="58"/>
      <x:c r="H74" s="59"/>
    </x:row>
    <x:row r="75" ht="15" customHeight="1">
      <x:c r="A75" s="29" t="s">
        <x:v>36</x:v>
      </x:c>
      <x:c r="B75" s="12" t="s">
        <x:v>6</x:v>
      </x:c>
      <x:c r="C75" s="12" t="s">
        <x:v>7</x:v>
      </x:c>
      <x:c r="D75" s="13" t="s">
        <x:v>8</x:v>
      </x:c>
      <x:c r="E75" s="50" t="s">
        <x:v>32</x:v>
      </x:c>
      <x:c r="F75" s="14" t="s">
        <x:v>10</x:v>
      </x:c>
      <x:c r="G75" s="41" t="s">
        <x:v>11</x:v>
      </x:c>
      <x:c r="H75" s="41" t="s">
        <x:v>12</x:v>
      </x:c>
    </x:row>
    <x:row r="76" ht="15" customHeight="1">
      <x:c r="A76" s="51" t="s">
        <x:v>37</x:v>
      </x:c>
      <x:c r="B76" s="35" t="str">
        <x:v>Second external source if needed</x:v>
      </x:c>
      <x:c r="C76" s="18" t="str">
        <x:v>Not selected</x:v>
      </x:c>
      <x:c r="D76" s="18" t="str">
        <x:v>TBD</x:v>
      </x:c>
      <x:c r="E76" s="18"/>
      <x:c r="F76" s="36"/>
      <x:c r="G76" s="52"/>
      <x:c r="H76" s="53" t="str">
        <x:v>mA</x:v>
      </x:c>
    </x:row>
    <x:row r="77" ht="15" customHeight="1">
      <x:c r="A77" s="54"/>
      <x:c r="B77" s="35"/>
      <x:c r="C77" s="35"/>
      <x:c r="D77" s="18"/>
      <x:c r="E77" s="18"/>
      <x:c r="F77" s="36"/>
      <x:c r="G77" s="37"/>
      <x:c r="H77" s="55" t="str">
        <x:v>mA</x:v>
      </x:c>
    </x:row>
    <x:row r="78" ht="15" customHeight="1">
      <x:c r="A78" s="56" t="s">
        <x:v>38</x:v>
      </x:c>
      <x:c r="B78" s="35"/>
      <x:c r="C78" s="35"/>
      <x:c r="D78" s="18"/>
      <x:c r="E78" s="18"/>
      <x:c r="F78" s="36"/>
      <x:c r="G78" s="37"/>
      <x:c r="H78" s="21" t="str">
        <x:v>mA</x:v>
      </x:c>
    </x:row>
    <x:row r="79" ht="15" customHeight="1">
      <x:c r="A79" s="57"/>
      <x:c r="B79" s="35"/>
      <x:c r="C79" s="35"/>
      <x:c r="D79" s="18"/>
      <x:c r="E79" s="18"/>
      <x:c r="F79" s="36"/>
      <x:c r="G79" s="37"/>
      <x:c r="H79" s="21" t="str">
        <x:v>mA</x:v>
      </x:c>
    </x:row>
    <x:row r="80" ht="15" customHeight="1">
      <x:c r="A80" s="57"/>
      <x:c r="B80" s="23"/>
      <x:c r="C80" s="17"/>
      <x:c r="D80" s="18"/>
      <x:c r="E80" s="19"/>
      <x:c r="F80" s="17"/>
      <x:c r="G80" s="20"/>
      <x:c r="H80" s="21" t="str">
        <x:v>mA</x:v>
      </x:c>
    </x:row>
    <x:row r="81" ht="15" customHeight="1">
      <x:c r="A81" s="54"/>
      <x:c r="B81" s="43" t="s">
        <x:v>39</x:v>
      </x:c>
      <x:c r="G81" s="52"/>
      <x:c r="H81" s="53" t="s">
        <x:v>15</x:v>
      </x:c>
    </x:row>
    <x:row r="82" ht="15" customHeight="1">
      <x:c r="A82" s="32"/>
      <x:c r="B82" s="23"/>
      <x:c r="C82" s="17"/>
      <x:c r="D82" s="60"/>
      <x:c r="E82" s="18"/>
      <x:c r="F82" s="23"/>
      <x:c r="G82" s="20"/>
      <x:c r="H82" s="61"/>
    </x:row>
    <x:row r="83" ht="15" customHeight="1">
      <x:c r="A83" s="8" t="s">
        <x:v>40</x:v>
      </x:c>
      <x:c r="B83" s="9"/>
      <x:c r="C83" s="9"/>
      <x:c r="D83" s="9"/>
      <x:c r="E83" s="9"/>
      <x:c r="F83" s="62"/>
      <x:c r="G83" s="63"/>
      <x:c r="H83" s="63"/>
    </x:row>
    <x:row r="84" ht="15" customHeight="1">
      <x:c r="A84" s="64"/>
      <x:c r="B84" s="65" t="s">
        <x:v>6</x:v>
      </x:c>
      <x:c r="C84" s="65" t="s">
        <x:v>7</x:v>
      </x:c>
      <x:c r="D84" s="66" t="s">
        <x:v>8</x:v>
      </x:c>
      <x:c r="E84" s="66"/>
      <x:c r="F84" s="67" t="s">
        <x:v>41</x:v>
      </x:c>
      <x:c r="G84" s="68" t="s">
        <x:v>42</x:v>
      </x:c>
      <x:c r="H84" s="69"/>
    </x:row>
    <x:row r="85" ht="15" customHeight="1">
      <x:c r="A85" s="16"/>
      <x:c r="B85" s="17" t="str">
        <x:v>Shared handle battery</x:v>
      </x:c>
      <x:c r="C85" s="17" t="str">
        <x:v>Power Board — capacity TBD</x:v>
      </x:c>
      <x:c r="D85" s="18" t="str">
        <x:v>Battery type/voltage TBD</x:v>
      </x:c>
      <x:c r="E85" s="19"/>
      <x:c r="F85" s="23"/>
      <x:c r="G85" s="20"/>
      <x:c r="H85" s="20"/>
    </x:row>
    <x:row r="86" ht="15" customHeight="1">
      <x:c r="A86" s="16"/>
      <x:c r="B86" s="17"/>
      <x:c r="C86" s="17"/>
      <x:c r="D86" s="19"/>
      <x:c r="E86" s="19"/>
      <x:c r="F86" s="30" t="s">
        <x:v>43</x:v>
      </x:c>
      <x:c r="G86" s="70" t="str">
        <x:f>IF(OR(F85="",G85="",G85=0),"",F85/G85)</x:f>
      </x:c>
      <x:c r="H86" s="21" t="s">
        <x:v>44</x:v>
      </x:c>
    </x:row>
    <x:row r="87" ht="15" customHeight="1">
      <x:c r="A87" s="71" t="s">
        <x:v>45</x:v>
      </x:c>
      <x:c r="B87" t="str">
        <x:v>DRAFT: Selected motor is Pololu #5138 with integrated encoder. 670mA is STALL current at rated 6V; confirm operating voltage and actual currents before finalizing.</x:v>
      </x:c>
      <x:c r="G87" s="72"/>
      <x:c r="H87" s="72"/>
    </x:row>
    <x:row r="88" ht="15" customHeight="1">
      <x:c r="A88" s="73" t="str">
        <x:v>LiDAR is assigned to another PCB. Encoder is integrated in motor; count its supply current once. Driver output current is not an extra load.</x:v>
      </x:c>
    </x:row>
    <x:row r="89" ht="15" customHeight="1">
      <x:c r="A89" s="74" t="str">
        <x:v>Missing: PIC, encoder, driver, regulator current specs; 5V vs 6V motor rail; shared supply/current; battery capacity and lifetime.</x:v>
      </x:c>
    </x:row>
  </x:sheetData>
  <x:mergeCells>
    <x:mergeCell ref="A1:H1"/>
    <x:mergeCell ref="A7:H7"/>
    <x:mergeCell ref="A16:H16"/>
    <x:mergeCell ref="B23:F23"/>
    <x:mergeCell ref="B24:F24"/>
    <x:mergeCell ref="B25:F25"/>
    <x:mergeCell ref="B28:F28"/>
    <x:mergeCell ref="B35:F35"/>
    <x:mergeCell ref="B36:F36"/>
    <x:mergeCell ref="B37:F37"/>
    <x:mergeCell ref="B40:F40"/>
    <x:mergeCell ref="B46:F46"/>
    <x:mergeCell ref="B47:F47"/>
    <x:mergeCell ref="B48:F48"/>
    <x:mergeCell ref="B51:F51"/>
    <x:mergeCell ref="B57:F57"/>
    <x:mergeCell ref="B58:F58"/>
    <x:mergeCell ref="B59:F59"/>
    <x:mergeCell ref="B62:F62"/>
    <x:mergeCell ref="A64:H64"/>
    <x:mergeCell ref="A65:H65"/>
    <x:mergeCell ref="A88:H88"/>
    <x:mergeCell ref="A89:H89"/>
    <x:mergeCell ref="A66:H66"/>
    <x:mergeCell ref="A70:A72"/>
    <x:mergeCell ref="B73:F73"/>
    <x:mergeCell ref="A78:A80"/>
    <x:mergeCell ref="B81:F81"/>
    <x:mergeCell ref="A83:F83"/>
    <x:mergeCell ref="A87:F87"/>
  </x:mergeCells>
  <x:conditionalFormatting sqref="G28:G28 G40:G40 G51:G51 G62:G62">
    <x:cfRule type="cellIs" dxfId="0" priority="1" operator="lessThan">
      <x:formula>0</x:formula>
    </x:cfRule>
  </x:conditionalFormatting>
  <x:pageMargins left="0.7" right="0.7" top="0.75" bottom="0.75" header="0.3" footer="0.3"/>
  <x:legacyDrawing xmlns:r="http://schemas.openxmlformats.org/officeDocument/2006/relationships" r:id="Rf97d00b6eeaf45e9"/>
</x:worksheet>
</file>